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FDE340CA-6F4A-4DA9-81FD-85031A13851F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rodutos" sheetId="1" r:id="rId1"/>
    <sheet name="Clientes" sheetId="2" r:id="rId2"/>
    <sheet name="Vendas" sheetId="3" r:id="rId3"/>
    <sheet name="Itens_Vend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1" i="4" l="1"/>
  <c r="A32" i="4"/>
  <c r="A33" i="4"/>
  <c r="A34" i="4"/>
  <c r="A35" i="4"/>
  <c r="A36" i="4"/>
  <c r="D31" i="4"/>
  <c r="D32" i="4"/>
  <c r="D33" i="4"/>
  <c r="D34" i="4"/>
  <c r="D35" i="4"/>
  <c r="D36" i="4"/>
  <c r="E31" i="4"/>
  <c r="E32" i="4"/>
  <c r="E33" i="4"/>
  <c r="E34" i="4"/>
  <c r="E35" i="4"/>
  <c r="E36" i="4"/>
  <c r="A31" i="3"/>
  <c r="A32" i="3"/>
  <c r="A33" i="3"/>
  <c r="A34" i="3"/>
  <c r="A35" i="3"/>
  <c r="A36" i="3"/>
  <c r="A2" i="2"/>
  <c r="A30" i="3"/>
  <c r="A30" i="4"/>
  <c r="D30" i="4"/>
  <c r="E30" i="4"/>
  <c r="A10" i="2"/>
  <c r="D26" i="4"/>
  <c r="A26" i="4"/>
  <c r="A27" i="4"/>
  <c r="A28" i="4"/>
  <c r="A29" i="4"/>
  <c r="D27" i="4"/>
  <c r="D28" i="4"/>
  <c r="D29" i="4"/>
  <c r="E26" i="4"/>
  <c r="E27" i="4"/>
  <c r="E28" i="4"/>
  <c r="E29" i="4"/>
  <c r="A23" i="4"/>
  <c r="A24" i="4"/>
  <c r="A25" i="4"/>
  <c r="D23" i="4"/>
  <c r="D24" i="4"/>
  <c r="D25" i="4"/>
  <c r="E23" i="4"/>
  <c r="E24" i="4"/>
  <c r="E25" i="4"/>
  <c r="D8" i="4"/>
  <c r="A23" i="1"/>
  <c r="F23" i="1"/>
  <c r="G23" i="1"/>
  <c r="A22" i="1"/>
  <c r="F22" i="1"/>
  <c r="G22" i="1"/>
  <c r="A26" i="3"/>
  <c r="A27" i="3"/>
  <c r="A28" i="3"/>
  <c r="A29" i="3"/>
  <c r="A22" i="3"/>
  <c r="A23" i="3"/>
  <c r="A24" i="3"/>
  <c r="A25" i="3"/>
  <c r="D2" i="4"/>
  <c r="E2" i="4" s="1"/>
  <c r="D3" i="4"/>
  <c r="E3" i="4" s="1"/>
  <c r="D4" i="4"/>
  <c r="E4" i="4" s="1"/>
  <c r="D5" i="4"/>
  <c r="E5" i="4" s="1"/>
  <c r="D6" i="4"/>
  <c r="E6" i="4" s="1"/>
  <c r="D7" i="4"/>
  <c r="E7" i="4" s="1"/>
  <c r="E8" i="4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A21" i="1"/>
  <c r="F21" i="1"/>
  <c r="G21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2" i="4"/>
  <c r="A2" i="3"/>
  <c r="A3" i="3"/>
  <c r="A4" i="3"/>
  <c r="A5" i="3"/>
  <c r="A6" i="3"/>
  <c r="A7" i="3"/>
  <c r="A8" i="3"/>
  <c r="A9" i="3"/>
  <c r="A10" i="3"/>
  <c r="A11" i="3"/>
  <c r="A12" i="3"/>
  <c r="A14" i="3"/>
  <c r="A15" i="3"/>
  <c r="A16" i="3"/>
  <c r="A17" i="3"/>
  <c r="A18" i="3"/>
  <c r="A19" i="3"/>
  <c r="A20" i="3"/>
  <c r="A21" i="3"/>
  <c r="A8" i="2"/>
  <c r="A6" i="2"/>
  <c r="A12" i="2"/>
  <c r="A9" i="2"/>
  <c r="A4" i="2"/>
  <c r="A7" i="2"/>
  <c r="A5" i="2"/>
  <c r="A3" i="2"/>
  <c r="A11" i="2"/>
  <c r="A11" i="1"/>
  <c r="A12" i="1"/>
  <c r="A13" i="1"/>
  <c r="A14" i="1"/>
  <c r="A15" i="1"/>
  <c r="A16" i="1"/>
  <c r="A17" i="1"/>
  <c r="A18" i="1"/>
  <c r="A19" i="1"/>
  <c r="A20" i="1"/>
  <c r="A3" i="1"/>
  <c r="A4" i="1"/>
  <c r="A5" i="1"/>
  <c r="A6" i="1"/>
  <c r="A7" i="1"/>
  <c r="A8" i="1"/>
  <c r="A9" i="1"/>
  <c r="A10" i="1"/>
  <c r="A2" i="1"/>
  <c r="E37" i="4" l="1"/>
</calcChain>
</file>

<file path=xl/sharedStrings.xml><?xml version="1.0" encoding="utf-8"?>
<sst xmlns="http://schemas.openxmlformats.org/spreadsheetml/2006/main" count="109" uniqueCount="59">
  <si>
    <t>ProdutoID</t>
  </si>
  <si>
    <t>Produto</t>
  </si>
  <si>
    <t>Categoria</t>
  </si>
  <si>
    <t>CustoUnit</t>
  </si>
  <si>
    <t>PrecoVenda</t>
  </si>
  <si>
    <t>LucroUnit</t>
  </si>
  <si>
    <t>Margem</t>
  </si>
  <si>
    <t>janela integrada</t>
  </si>
  <si>
    <t>esquadria</t>
  </si>
  <si>
    <t>janela blindex</t>
  </si>
  <si>
    <t>porta integrada</t>
  </si>
  <si>
    <t>porta blindex</t>
  </si>
  <si>
    <t>porta de aluminío</t>
  </si>
  <si>
    <t>janela de aluminío</t>
  </si>
  <si>
    <t xml:space="preserve">maxiar </t>
  </si>
  <si>
    <t>basculante</t>
  </si>
  <si>
    <t>box</t>
  </si>
  <si>
    <t>parapeito</t>
  </si>
  <si>
    <t>corrimão</t>
  </si>
  <si>
    <t>vidro comum</t>
  </si>
  <si>
    <t>vidro</t>
  </si>
  <si>
    <t>vidro temperado</t>
  </si>
  <si>
    <t>perfil de aluminío</t>
  </si>
  <si>
    <t>aluminío</t>
  </si>
  <si>
    <t>roldana</t>
  </si>
  <si>
    <t>ferragem</t>
  </si>
  <si>
    <t>escovas</t>
  </si>
  <si>
    <t>borracha</t>
  </si>
  <si>
    <t>fechadura</t>
  </si>
  <si>
    <t>manutenção</t>
  </si>
  <si>
    <t>portão de aluminío</t>
  </si>
  <si>
    <t>espelho</t>
  </si>
  <si>
    <t>pergolado</t>
  </si>
  <si>
    <t>ClienteID</t>
  </si>
  <si>
    <t>Cliente</t>
  </si>
  <si>
    <t>Cidade</t>
  </si>
  <si>
    <t>TipoCliente</t>
  </si>
  <si>
    <t>Gênero</t>
  </si>
  <si>
    <t>afair</t>
  </si>
  <si>
    <t>garapoba</t>
  </si>
  <si>
    <t>fisico</t>
  </si>
  <si>
    <t>Masculino</t>
  </si>
  <si>
    <t>andre</t>
  </si>
  <si>
    <t>garopaba</t>
  </si>
  <si>
    <t>batista</t>
  </si>
  <si>
    <t>bruno</t>
  </si>
  <si>
    <t>cristiano</t>
  </si>
  <si>
    <t>curupira</t>
  </si>
  <si>
    <t>Feminino</t>
  </si>
  <si>
    <t>daniel</t>
  </si>
  <si>
    <t>edel</t>
  </si>
  <si>
    <t>gabriela</t>
  </si>
  <si>
    <t>marina</t>
  </si>
  <si>
    <t>rosane</t>
  </si>
  <si>
    <t>VendaID</t>
  </si>
  <si>
    <t>DataVenda</t>
  </si>
  <si>
    <t>Quantidade</t>
  </si>
  <si>
    <t>TotalItem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</si>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</sst>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4" formatCode="0.00%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CDF453-5F7F-4ECA-B764-FA7C23B6EC03}" name="Tabela4" displayName="Tabela4" ref="A1:G23" totalsRowShown="0">
  <autoFilter ref="A1:G23" xr:uid="{3ACDF453-5F7F-4ECA-B764-FA7C23B6EC03}"/>
  <tableColumns count="7">
    <tableColumn id="1" xr3:uid="{AC5E2C33-5F6D-4EA6-A05B-429D8739C350}" name="ProdutoID">
      <calculatedColumnFormula>ROW()-1</calculatedColumnFormula>
    </tableColumn>
    <tableColumn id="2" xr3:uid="{9555C369-77A2-4AA0-AF6B-FB36C1F57B14}" name="Produto"/>
    <tableColumn id="3" xr3:uid="{C5318F72-1341-4717-AF06-97C71DA665FF}" name="Categoria"/>
    <tableColumn id="4" xr3:uid="{00021E41-7E90-42E4-B6A4-44087101041F}" name="CustoUnit" dataDxfId="6"/>
    <tableColumn id="5" xr3:uid="{8EBE3254-BC0B-4214-BDB6-38D9279DA0E9}" name="PrecoVenda" dataDxfId="5"/>
    <tableColumn id="6" xr3:uid="{66C244F7-3C72-4B4F-9E58-3C290CFCAE42}" name="LucroUnit" dataDxfId="4">
      <calculatedColumnFormula>Tabela4[[#This Row],[PrecoVenda]]-Tabela4[[#This Row],[CustoUnit]]</calculatedColumnFormula>
    </tableColumn>
    <tableColumn id="7" xr3:uid="{2E9900FC-9B04-4741-BA5E-E046F7EF0162}" name="Margem" dataDxfId="3">
      <calculatedColumnFormula>IF(Tabela4[[#This Row],[PrecoVenda]]=0,0,Tabela4[[#This Row],[LucroUnit]]/Tabela4[[#This Row],[PrecoVenda]])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02A9A7-8206-4771-9753-3F128E7C658D}" name="Tabela3" displayName="Tabela3" ref="A1:E12" totalsRowShown="0">
  <autoFilter ref="A1:E12" xr:uid="{CF02A9A7-8206-4771-9753-3F128E7C658D}"/>
  <sortState xmlns:xlrd2="http://schemas.microsoft.com/office/spreadsheetml/2017/richdata2" ref="A2:E12">
    <sortCondition ref="B1:B12"/>
  </sortState>
  <tableColumns count="5">
    <tableColumn id="1" xr3:uid="{E5CB0A8D-8A5C-404A-8A24-353CB4030862}" name="ClienteID">
      <calculatedColumnFormula>ROW()-1</calculatedColumnFormula>
    </tableColumn>
    <tableColumn id="2" xr3:uid="{F73DE15E-C265-4EE1-8524-1C1B093930B5}" name="Cliente"/>
    <tableColumn id="3" xr3:uid="{510E1CD4-E4EB-4653-B288-A74EEA66C46D}" name="Cidade"/>
    <tableColumn id="4" xr3:uid="{6043AFBF-860F-4BAF-A398-5F0CC76B0A19}" name="TipoCliente"/>
    <tableColumn id="6" xr3:uid="{03FE129E-4334-416D-8732-A9CCF2B22CF1}" name="Gênero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613E9C-5835-4A78-AF60-69BA31C0533F}" name="Tabela2" displayName="Tabela2" ref="A1:C36" insertRowShift="1" totalsRowShown="0">
  <autoFilter ref="A1:C36" xr:uid="{4E613E9C-5835-4A78-AF60-69BA31C0533F}"/>
  <sortState xmlns:xlrd2="http://schemas.microsoft.com/office/spreadsheetml/2017/richdata2" ref="A2:D22">
    <sortCondition descending="1" ref="A1:A22"/>
  </sortState>
  <tableColumns count="3">
    <tableColumn id="1" xr3:uid="{13B90116-42F1-4A56-AEC9-1F4311BAE9B5}" name="VendaID"/>
    <tableColumn id="2" xr3:uid="{D3C06438-78AD-4595-A8A2-DE534C785780}" name="DataVenda"/>
    <tableColumn id="3" xr3:uid="{B18B577B-6574-4E74-89A5-27AA6549F4C1}" name="ClienteID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91105-4722-4859-9E0E-0DA86D6E6595}" name="Tabela1" displayName="Tabela1" ref="A1:E37" totalsRowCount="1">
  <autoFilter ref="A1:E36" xr:uid="{3F791105-4722-4859-9E0E-0DA86D6E6595}"/>
  <sortState xmlns:xlrd2="http://schemas.microsoft.com/office/spreadsheetml/2017/richdata2" ref="A2:D22">
    <sortCondition ref="A1:A22"/>
  </sortState>
  <tableColumns count="5">
    <tableColumn id="1" xr3:uid="{C120D427-34A4-4A5A-A8A0-053886351ACD}" name="VendaID" totalsRowLabel="Total">
      <calculatedColumnFormula>ROW()-1</calculatedColumnFormula>
    </tableColumn>
    <tableColumn id="2" xr3:uid="{F53B550A-306B-4B61-861F-B909E8E25E53}" name="ProdutoID"/>
    <tableColumn id="3" xr3:uid="{016FCB28-E7D2-4159-B23B-A0291E8CC13A}" name="Quantidade"/>
    <tableColumn id="4" xr3:uid="{BEE329D6-E0B7-40B5-8C8B-6BED432E8B54}" name="CustoUnit" dataDxfId="2">
      <calculatedColumnFormula>_xlfn.XLOOKUP(Tabela1[[#This Row],[ProdutoID]],Produtos!A:A,Produtos!E:E)</calculatedColumnFormula>
    </tableColumn>
    <tableColumn id="5" xr3:uid="{1B6252E2-FE0B-4C2D-A058-D0F709C5BD0E}" name="TotalItem" totalsRowFunction="custom" dataDxfId="0" totalsRowDxfId="1">
      <calculatedColumnFormula>Tabela1[[#This Row],[Quantidade]]*Tabela1[[#This Row],[CustoUnit]]</calculatedColumnFormula>
      <totalsRowFormula>SUBTOTAL(109,E2:E36)</totalsRow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A24" sqref="A24"/>
    </sheetView>
  </sheetViews>
  <sheetFormatPr defaultRowHeight="15"/>
  <cols>
    <col min="1" max="1" width="12.28515625" bestFit="1" customWidth="1"/>
    <col min="2" max="2" width="17.42578125" bestFit="1" customWidth="1"/>
    <col min="3" max="3" width="12.42578125" bestFit="1" customWidth="1"/>
    <col min="4" max="4" width="12.140625" bestFit="1" customWidth="1"/>
    <col min="5" max="5" width="13.85546875" bestFit="1" customWidth="1"/>
    <col min="6" max="6" width="12.140625" bestFit="1" customWidth="1"/>
    <col min="7" max="7" width="10.7109375" bestFit="1" customWidth="1"/>
    <col min="13" max="13" width="28.28515625" bestFit="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>
        <f>ROW()-1</f>
        <v>1</v>
      </c>
      <c r="B2" t="s">
        <v>7</v>
      </c>
      <c r="C2" t="s">
        <v>8</v>
      </c>
      <c r="D2" s="1">
        <v>1500</v>
      </c>
      <c r="E2" s="1">
        <v>3000</v>
      </c>
      <c r="F2" s="1">
        <f>Tabela4[[#This Row],[PrecoVenda]]-Tabela4[[#This Row],[CustoUnit]]</f>
        <v>1500</v>
      </c>
      <c r="G2" s="2">
        <f>IF(Tabela4[[#This Row],[PrecoVenda]]=0,0,Tabela4[[#This Row],[LucroUnit]]/Tabela4[[#This Row],[PrecoVenda]])</f>
        <v>0.5</v>
      </c>
    </row>
    <row r="3" spans="1:7">
      <c r="A3">
        <f t="shared" ref="A3:A24" si="0">ROW()-1</f>
        <v>2</v>
      </c>
      <c r="B3" t="s">
        <v>9</v>
      </c>
      <c r="C3" t="s">
        <v>8</v>
      </c>
      <c r="D3" s="1">
        <v>400</v>
      </c>
      <c r="E3" s="1">
        <v>800</v>
      </c>
      <c r="F3" s="1">
        <f>Tabela4[[#This Row],[PrecoVenda]]-Tabela4[[#This Row],[CustoUnit]]</f>
        <v>400</v>
      </c>
      <c r="G3" s="2">
        <f>IF(Tabela4[[#This Row],[PrecoVenda]]=0,0,Tabela4[[#This Row],[LucroUnit]]/Tabela4[[#This Row],[PrecoVenda]])</f>
        <v>0.5</v>
      </c>
    </row>
    <row r="4" spans="1:7">
      <c r="A4">
        <f t="shared" si="0"/>
        <v>3</v>
      </c>
      <c r="B4" t="s">
        <v>10</v>
      </c>
      <c r="C4" t="s">
        <v>8</v>
      </c>
      <c r="D4" s="1">
        <v>3000</v>
      </c>
      <c r="E4" s="1">
        <v>5000</v>
      </c>
      <c r="F4" s="1">
        <f>Tabela4[[#This Row],[PrecoVenda]]-Tabela4[[#This Row],[CustoUnit]]</f>
        <v>2000</v>
      </c>
      <c r="G4" s="2">
        <f>IF(Tabela4[[#This Row],[PrecoVenda]]=0,0,Tabela4[[#This Row],[LucroUnit]]/Tabela4[[#This Row],[PrecoVenda]])</f>
        <v>0.4</v>
      </c>
    </row>
    <row r="5" spans="1:7">
      <c r="A5">
        <f t="shared" si="0"/>
        <v>4</v>
      </c>
      <c r="B5" t="s">
        <v>11</v>
      </c>
      <c r="C5" t="s">
        <v>8</v>
      </c>
      <c r="D5" s="1">
        <v>1500</v>
      </c>
      <c r="E5" s="1">
        <v>3000</v>
      </c>
      <c r="F5" s="1">
        <f>Tabela4[[#This Row],[PrecoVenda]]-Tabela4[[#This Row],[CustoUnit]]</f>
        <v>1500</v>
      </c>
      <c r="G5" s="2">
        <f>IF(Tabela4[[#This Row],[PrecoVenda]]=0,0,Tabela4[[#This Row],[LucroUnit]]/Tabela4[[#This Row],[PrecoVenda]])</f>
        <v>0.5</v>
      </c>
    </row>
    <row r="6" spans="1:7">
      <c r="A6">
        <f t="shared" si="0"/>
        <v>5</v>
      </c>
      <c r="B6" t="s">
        <v>12</v>
      </c>
      <c r="C6" t="s">
        <v>8</v>
      </c>
      <c r="D6" s="1">
        <v>700</v>
      </c>
      <c r="E6" s="1">
        <v>1300</v>
      </c>
      <c r="F6" s="1">
        <f>Tabela4[[#This Row],[PrecoVenda]]-Tabela4[[#This Row],[CustoUnit]]</f>
        <v>600</v>
      </c>
      <c r="G6" s="2">
        <f>IF(Tabela4[[#This Row],[PrecoVenda]]=0,0,Tabela4[[#This Row],[LucroUnit]]/Tabela4[[#This Row],[PrecoVenda]])</f>
        <v>0.46153846153846156</v>
      </c>
    </row>
    <row r="7" spans="1:7">
      <c r="A7">
        <f t="shared" si="0"/>
        <v>6</v>
      </c>
      <c r="B7" t="s">
        <v>13</v>
      </c>
      <c r="C7" t="s">
        <v>8</v>
      </c>
      <c r="D7" s="1">
        <v>1000</v>
      </c>
      <c r="E7" s="1">
        <v>1800</v>
      </c>
      <c r="F7" s="1">
        <f>Tabela4[[#This Row],[PrecoVenda]]-Tabela4[[#This Row],[CustoUnit]]</f>
        <v>800</v>
      </c>
      <c r="G7" s="2">
        <f>IF(Tabela4[[#This Row],[PrecoVenda]]=0,0,Tabela4[[#This Row],[LucroUnit]]/Tabela4[[#This Row],[PrecoVenda]])</f>
        <v>0.44444444444444442</v>
      </c>
    </row>
    <row r="8" spans="1:7">
      <c r="A8">
        <f t="shared" si="0"/>
        <v>7</v>
      </c>
      <c r="B8" t="s">
        <v>14</v>
      </c>
      <c r="C8" t="s">
        <v>8</v>
      </c>
      <c r="D8" s="1">
        <v>800</v>
      </c>
      <c r="E8" s="1">
        <v>1200</v>
      </c>
      <c r="F8" s="1">
        <f>Tabela4[[#This Row],[PrecoVenda]]-Tabela4[[#This Row],[CustoUnit]]</f>
        <v>400</v>
      </c>
      <c r="G8" s="2">
        <f>IF(Tabela4[[#This Row],[PrecoVenda]]=0,0,Tabela4[[#This Row],[LucroUnit]]/Tabela4[[#This Row],[PrecoVenda]])</f>
        <v>0.33333333333333331</v>
      </c>
    </row>
    <row r="9" spans="1:7">
      <c r="A9">
        <f t="shared" si="0"/>
        <v>8</v>
      </c>
      <c r="B9" t="s">
        <v>15</v>
      </c>
      <c r="C9" t="s">
        <v>8</v>
      </c>
      <c r="D9" s="1">
        <v>300</v>
      </c>
      <c r="E9" s="1">
        <v>800</v>
      </c>
      <c r="F9" s="1">
        <f>Tabela4[[#This Row],[PrecoVenda]]-Tabela4[[#This Row],[CustoUnit]]</f>
        <v>500</v>
      </c>
      <c r="G9" s="2">
        <f>IF(Tabela4[[#This Row],[PrecoVenda]]=0,0,Tabela4[[#This Row],[LucroUnit]]/Tabela4[[#This Row],[PrecoVenda]])</f>
        <v>0.625</v>
      </c>
    </row>
    <row r="10" spans="1:7">
      <c r="A10">
        <f t="shared" si="0"/>
        <v>9</v>
      </c>
      <c r="B10" t="s">
        <v>16</v>
      </c>
      <c r="C10" t="s">
        <v>8</v>
      </c>
      <c r="D10" s="1">
        <v>1000</v>
      </c>
      <c r="E10" s="1">
        <v>1400</v>
      </c>
      <c r="F10" s="1">
        <f>Tabela4[[#This Row],[PrecoVenda]]-Tabela4[[#This Row],[CustoUnit]]</f>
        <v>400</v>
      </c>
      <c r="G10" s="2">
        <f>IF(Tabela4[[#This Row],[PrecoVenda]]=0,0,Tabela4[[#This Row],[LucroUnit]]/Tabela4[[#This Row],[PrecoVenda]])</f>
        <v>0.2857142857142857</v>
      </c>
    </row>
    <row r="11" spans="1:7">
      <c r="A11">
        <f t="shared" si="0"/>
        <v>10</v>
      </c>
      <c r="B11" t="s">
        <v>17</v>
      </c>
      <c r="C11" t="s">
        <v>8</v>
      </c>
      <c r="D11" s="1">
        <v>3000</v>
      </c>
      <c r="E11" s="1">
        <v>6000</v>
      </c>
      <c r="F11" s="1">
        <f>Tabela4[[#This Row],[PrecoVenda]]-Tabela4[[#This Row],[CustoUnit]]</f>
        <v>3000</v>
      </c>
      <c r="G11" s="2">
        <f>IF(Tabela4[[#This Row],[PrecoVenda]]=0,0,Tabela4[[#This Row],[LucroUnit]]/Tabela4[[#This Row],[PrecoVenda]])</f>
        <v>0.5</v>
      </c>
    </row>
    <row r="12" spans="1:7">
      <c r="A12">
        <f t="shared" si="0"/>
        <v>11</v>
      </c>
      <c r="B12" t="s">
        <v>18</v>
      </c>
      <c r="C12" t="s">
        <v>8</v>
      </c>
      <c r="D12" s="1">
        <v>4000</v>
      </c>
      <c r="E12" s="1">
        <v>8000</v>
      </c>
      <c r="F12" s="1">
        <f>Tabela4[[#This Row],[PrecoVenda]]-Tabela4[[#This Row],[CustoUnit]]</f>
        <v>4000</v>
      </c>
      <c r="G12" s="2">
        <f>IF(Tabela4[[#This Row],[PrecoVenda]]=0,0,Tabela4[[#This Row],[LucroUnit]]/Tabela4[[#This Row],[PrecoVenda]])</f>
        <v>0.5</v>
      </c>
    </row>
    <row r="13" spans="1:7">
      <c r="A13">
        <f t="shared" si="0"/>
        <v>12</v>
      </c>
      <c r="B13" t="s">
        <v>19</v>
      </c>
      <c r="C13" t="s">
        <v>20</v>
      </c>
      <c r="D13" s="1">
        <v>100</v>
      </c>
      <c r="E13" s="1">
        <v>200</v>
      </c>
      <c r="F13" s="1">
        <f>Tabela4[[#This Row],[PrecoVenda]]-Tabela4[[#This Row],[CustoUnit]]</f>
        <v>100</v>
      </c>
      <c r="G13" s="2">
        <f>IF(Tabela4[[#This Row],[PrecoVenda]]=0,0,Tabela4[[#This Row],[LucroUnit]]/Tabela4[[#This Row],[PrecoVenda]])</f>
        <v>0.5</v>
      </c>
    </row>
    <row r="14" spans="1:7">
      <c r="A14">
        <f t="shared" si="0"/>
        <v>13</v>
      </c>
      <c r="B14" t="s">
        <v>21</v>
      </c>
      <c r="C14" t="s">
        <v>20</v>
      </c>
      <c r="D14" s="1">
        <v>250</v>
      </c>
      <c r="E14" s="1">
        <v>300</v>
      </c>
      <c r="F14" s="1">
        <f>Tabela4[[#This Row],[PrecoVenda]]-Tabela4[[#This Row],[CustoUnit]]</f>
        <v>50</v>
      </c>
      <c r="G14" s="2">
        <f>IF(Tabela4[[#This Row],[PrecoVenda]]=0,0,Tabela4[[#This Row],[LucroUnit]]/Tabela4[[#This Row],[PrecoVenda]])</f>
        <v>0.16666666666666666</v>
      </c>
    </row>
    <row r="15" spans="1:7">
      <c r="A15">
        <f t="shared" si="0"/>
        <v>14</v>
      </c>
      <c r="B15" t="s">
        <v>22</v>
      </c>
      <c r="C15" t="s">
        <v>23</v>
      </c>
      <c r="D15" s="1">
        <v>160</v>
      </c>
      <c r="E15" s="1">
        <v>200</v>
      </c>
      <c r="F15" s="1">
        <f>Tabela4[[#This Row],[PrecoVenda]]-Tabela4[[#This Row],[CustoUnit]]</f>
        <v>40</v>
      </c>
      <c r="G15" s="2">
        <f>IF(Tabela4[[#This Row],[PrecoVenda]]=0,0,Tabela4[[#This Row],[LucroUnit]]/Tabela4[[#This Row],[PrecoVenda]])</f>
        <v>0.2</v>
      </c>
    </row>
    <row r="16" spans="1:7">
      <c r="A16">
        <f t="shared" si="0"/>
        <v>15</v>
      </c>
      <c r="B16" t="s">
        <v>24</v>
      </c>
      <c r="C16" t="s">
        <v>25</v>
      </c>
      <c r="D16" s="1">
        <v>80</v>
      </c>
      <c r="E16" s="1">
        <v>100</v>
      </c>
      <c r="F16" s="1">
        <f>Tabela4[[#This Row],[PrecoVenda]]-Tabela4[[#This Row],[CustoUnit]]</f>
        <v>20</v>
      </c>
      <c r="G16" s="2">
        <f>IF(Tabela4[[#This Row],[PrecoVenda]]=0,0,Tabela4[[#This Row],[LucroUnit]]/Tabela4[[#This Row],[PrecoVenda]])</f>
        <v>0.2</v>
      </c>
    </row>
    <row r="17" spans="1:7">
      <c r="A17">
        <f t="shared" si="0"/>
        <v>16</v>
      </c>
      <c r="B17" t="s">
        <v>26</v>
      </c>
      <c r="C17" t="s">
        <v>25</v>
      </c>
      <c r="D17" s="1">
        <v>60</v>
      </c>
      <c r="E17" s="1">
        <v>100</v>
      </c>
      <c r="F17" s="1">
        <f>Tabela4[[#This Row],[PrecoVenda]]-Tabela4[[#This Row],[CustoUnit]]</f>
        <v>40</v>
      </c>
      <c r="G17" s="2">
        <f>IF(Tabela4[[#This Row],[PrecoVenda]]=0,0,Tabela4[[#This Row],[LucroUnit]]/Tabela4[[#This Row],[PrecoVenda]])</f>
        <v>0.4</v>
      </c>
    </row>
    <row r="18" spans="1:7">
      <c r="A18">
        <f t="shared" si="0"/>
        <v>17</v>
      </c>
      <c r="B18" t="s">
        <v>27</v>
      </c>
      <c r="C18" t="s">
        <v>25</v>
      </c>
      <c r="D18" s="1">
        <v>140</v>
      </c>
      <c r="E18" s="1">
        <v>200</v>
      </c>
      <c r="F18" s="1">
        <f>Tabela4[[#This Row],[PrecoVenda]]-Tabela4[[#This Row],[CustoUnit]]</f>
        <v>60</v>
      </c>
      <c r="G18" s="2">
        <f>IF(Tabela4[[#This Row],[PrecoVenda]]=0,0,Tabela4[[#This Row],[LucroUnit]]/Tabela4[[#This Row],[PrecoVenda]])</f>
        <v>0.3</v>
      </c>
    </row>
    <row r="19" spans="1:7">
      <c r="A19">
        <f t="shared" si="0"/>
        <v>18</v>
      </c>
      <c r="B19" t="s">
        <v>28</v>
      </c>
      <c r="C19" t="s">
        <v>25</v>
      </c>
      <c r="D19" s="1">
        <v>250</v>
      </c>
      <c r="E19" s="1">
        <v>300</v>
      </c>
      <c r="F19" s="1">
        <f>Tabela4[[#This Row],[PrecoVenda]]-Tabela4[[#This Row],[CustoUnit]]</f>
        <v>50</v>
      </c>
      <c r="G19" s="2">
        <f>IF(Tabela4[[#This Row],[PrecoVenda]]=0,0,Tabela4[[#This Row],[LucroUnit]]/Tabela4[[#This Row],[PrecoVenda]])</f>
        <v>0.16666666666666666</v>
      </c>
    </row>
    <row r="20" spans="1:7">
      <c r="A20">
        <f t="shared" si="0"/>
        <v>19</v>
      </c>
      <c r="B20" t="s">
        <v>29</v>
      </c>
      <c r="C20" t="s">
        <v>29</v>
      </c>
      <c r="D20" s="1">
        <v>500</v>
      </c>
      <c r="E20" s="1">
        <v>500</v>
      </c>
      <c r="F20" s="1">
        <f>Tabela4[[#This Row],[PrecoVenda]]-Tabela4[[#This Row],[CustoUnit]]</f>
        <v>0</v>
      </c>
      <c r="G20" s="2">
        <f>IF(Tabela4[[#This Row],[PrecoVenda]]=0,0,Tabela4[[#This Row],[LucroUnit]]/Tabela4[[#This Row],[PrecoVenda]])</f>
        <v>0</v>
      </c>
    </row>
    <row r="21" spans="1:7">
      <c r="A21">
        <f t="shared" ref="A21:A22" si="1">ROW()-1</f>
        <v>20</v>
      </c>
      <c r="B21" t="s">
        <v>30</v>
      </c>
      <c r="C21" t="s">
        <v>8</v>
      </c>
      <c r="D21" s="1">
        <v>1500</v>
      </c>
      <c r="E21" s="1">
        <v>3000</v>
      </c>
      <c r="F21" s="1">
        <f>Tabela4[[#This Row],[PrecoVenda]]-Tabela4[[#This Row],[CustoUnit]]</f>
        <v>1500</v>
      </c>
      <c r="G21" s="2">
        <f>IF(Tabela4[[#This Row],[PrecoVenda]]=0,0,Tabela4[[#This Row],[LucroUnit]]/Tabela4[[#This Row],[PrecoVenda]])</f>
        <v>0.5</v>
      </c>
    </row>
    <row r="22" spans="1:7">
      <c r="A22">
        <f>ROW()-1</f>
        <v>21</v>
      </c>
      <c r="B22" t="s">
        <v>31</v>
      </c>
      <c r="C22" t="s">
        <v>20</v>
      </c>
      <c r="D22" s="1">
        <v>800</v>
      </c>
      <c r="E22" s="1">
        <v>1500</v>
      </c>
      <c r="F22" s="1">
        <f>Tabela4[[#This Row],[PrecoVenda]]-Tabela4[[#This Row],[CustoUnit]]</f>
        <v>700</v>
      </c>
      <c r="G22" s="2">
        <f>IF(Tabela4[[#This Row],[PrecoVenda]]=0,0,Tabela4[[#This Row],[LucroUnit]]/Tabela4[[#This Row],[PrecoVenda]])</f>
        <v>0.46666666666666667</v>
      </c>
    </row>
    <row r="23" spans="1:7">
      <c r="A23">
        <f t="shared" ref="A23:A25" si="2">ROW()-1</f>
        <v>22</v>
      </c>
      <c r="B23" t="s">
        <v>32</v>
      </c>
      <c r="C23" t="s">
        <v>20</v>
      </c>
      <c r="D23" s="1">
        <v>3000</v>
      </c>
      <c r="E23" s="1">
        <v>8000</v>
      </c>
      <c r="F23" s="1">
        <f>Tabela4[[#This Row],[PrecoVenda]]-Tabela4[[#This Row],[CustoUnit]]</f>
        <v>5000</v>
      </c>
      <c r="G23" s="2">
        <f>IF(Tabela4[[#This Row],[PrecoVenda]]=0,0,Tabela4[[#This Row],[LucroUnit]]/Tabela4[[#This Row],[PrecoVenda]])</f>
        <v>0.625</v>
      </c>
    </row>
    <row r="24" spans="1:7">
      <c r="D24" s="1"/>
      <c r="E24" s="1"/>
      <c r="F24" s="1"/>
      <c r="G24" s="2"/>
    </row>
    <row r="25" spans="1:7">
      <c r="D25" s="1"/>
      <c r="E25" s="1"/>
      <c r="F25" s="1"/>
      <c r="G2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9711-D178-4E29-8FA1-43EA8C77895E}">
  <dimension ref="A1:E12"/>
  <sheetViews>
    <sheetView workbookViewId="0">
      <selection activeCell="E2" sqref="E2"/>
    </sheetView>
  </sheetViews>
  <sheetFormatPr defaultRowHeight="15"/>
  <cols>
    <col min="1" max="1" width="11.28515625" bestFit="1" customWidth="1"/>
    <col min="2" max="2" width="9.42578125" bestFit="1" customWidth="1"/>
    <col min="3" max="3" width="9.28515625" bestFit="1" customWidth="1"/>
    <col min="4" max="4" width="13.28515625" bestFit="1" customWidth="1"/>
    <col min="5" max="5" width="18.5703125" bestFit="1" customWidth="1"/>
  </cols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>
        <f>ROW()-1</f>
        <v>1</v>
      </c>
      <c r="B2" t="s">
        <v>38</v>
      </c>
      <c r="C2" t="s">
        <v>39</v>
      </c>
      <c r="D2" t="s">
        <v>40</v>
      </c>
      <c r="E2" t="s">
        <v>41</v>
      </c>
    </row>
    <row r="3" spans="1:5">
      <c r="A3">
        <f>ROW()-1</f>
        <v>2</v>
      </c>
      <c r="B3" t="s">
        <v>42</v>
      </c>
      <c r="C3" t="s">
        <v>43</v>
      </c>
      <c r="D3" t="s">
        <v>40</v>
      </c>
      <c r="E3" t="s">
        <v>41</v>
      </c>
    </row>
    <row r="4" spans="1:5">
      <c r="A4">
        <f>ROW()-1</f>
        <v>3</v>
      </c>
      <c r="B4" t="s">
        <v>44</v>
      </c>
      <c r="C4" t="s">
        <v>43</v>
      </c>
      <c r="D4" t="s">
        <v>40</v>
      </c>
      <c r="E4" t="s">
        <v>41</v>
      </c>
    </row>
    <row r="5" spans="1:5">
      <c r="A5">
        <f>ROW()-1</f>
        <v>4</v>
      </c>
      <c r="B5" t="s">
        <v>45</v>
      </c>
      <c r="C5" t="s">
        <v>43</v>
      </c>
      <c r="D5" t="s">
        <v>40</v>
      </c>
      <c r="E5" t="s">
        <v>41</v>
      </c>
    </row>
    <row r="6" spans="1:5">
      <c r="A6">
        <f>ROW()-1</f>
        <v>5</v>
      </c>
      <c r="B6" t="s">
        <v>46</v>
      </c>
      <c r="C6" t="s">
        <v>43</v>
      </c>
      <c r="D6" t="s">
        <v>40</v>
      </c>
      <c r="E6" t="s">
        <v>41</v>
      </c>
    </row>
    <row r="7" spans="1:5">
      <c r="A7">
        <f>ROW()-1</f>
        <v>6</v>
      </c>
      <c r="B7" t="s">
        <v>47</v>
      </c>
      <c r="C7" t="s">
        <v>43</v>
      </c>
      <c r="D7" t="s">
        <v>40</v>
      </c>
      <c r="E7" t="s">
        <v>48</v>
      </c>
    </row>
    <row r="8" spans="1:5">
      <c r="A8">
        <f>ROW()-1</f>
        <v>7</v>
      </c>
      <c r="B8" t="s">
        <v>49</v>
      </c>
      <c r="C8" t="s">
        <v>43</v>
      </c>
      <c r="D8" t="s">
        <v>40</v>
      </c>
      <c r="E8" t="s">
        <v>41</v>
      </c>
    </row>
    <row r="9" spans="1:5">
      <c r="A9">
        <f>ROW()-1</f>
        <v>8</v>
      </c>
      <c r="B9" t="s">
        <v>50</v>
      </c>
      <c r="C9" t="s">
        <v>43</v>
      </c>
      <c r="D9" t="s">
        <v>40</v>
      </c>
      <c r="E9" t="s">
        <v>48</v>
      </c>
    </row>
    <row r="10" spans="1:5">
      <c r="A10">
        <f>ROW()-1</f>
        <v>9</v>
      </c>
      <c r="B10" t="s">
        <v>51</v>
      </c>
      <c r="C10" t="s">
        <v>43</v>
      </c>
      <c r="D10" t="s">
        <v>40</v>
      </c>
      <c r="E10" t="s">
        <v>48</v>
      </c>
    </row>
    <row r="11" spans="1:5">
      <c r="A11">
        <f>ROW()-1</f>
        <v>10</v>
      </c>
      <c r="B11" t="s">
        <v>52</v>
      </c>
      <c r="C11" t="s">
        <v>43</v>
      </c>
      <c r="D11" t="s">
        <v>40</v>
      </c>
      <c r="E11" t="s">
        <v>48</v>
      </c>
    </row>
    <row r="12" spans="1:5">
      <c r="A12">
        <f>ROW()-1</f>
        <v>11</v>
      </c>
      <c r="B12" t="s">
        <v>53</v>
      </c>
      <c r="C12" t="s">
        <v>43</v>
      </c>
      <c r="D12" t="s">
        <v>40</v>
      </c>
      <c r="E12" t="s">
        <v>48</v>
      </c>
    </row>
  </sheetData>
  <dataValidations count="1">
    <dataValidation type="list" allowBlank="1" showInputMessage="1" showErrorMessage="1" sqref="E2:E12" xr:uid="{DE00FF35-3159-4885-8CA8-D88620D2DAFE}">
      <formula1>"Feminino,Masculino"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3E3E-F20C-4FA5-896B-5AF22452D3CF}">
  <dimension ref="A1:C36"/>
  <sheetViews>
    <sheetView workbookViewId="0">
      <selection activeCell="E34" sqref="E34"/>
    </sheetView>
  </sheetViews>
  <sheetFormatPr defaultRowHeight="15"/>
  <cols>
    <col min="1" max="1" width="10.7109375" bestFit="1" customWidth="1"/>
    <col min="2" max="2" width="16.28515625" customWidth="1"/>
    <col min="3" max="3" width="11.28515625" bestFit="1" customWidth="1"/>
    <col min="4" max="4" width="12.42578125" bestFit="1" customWidth="1"/>
  </cols>
  <sheetData>
    <row r="1" spans="1:3">
      <c r="A1" t="s">
        <v>54</v>
      </c>
      <c r="B1" t="s">
        <v>55</v>
      </c>
      <c r="C1" t="s">
        <v>33</v>
      </c>
    </row>
    <row r="2" spans="1:3">
      <c r="A2">
        <f>ROW()-1</f>
        <v>1</v>
      </c>
      <c r="B2" s="3">
        <v>45871</v>
      </c>
      <c r="C2">
        <v>1</v>
      </c>
    </row>
    <row r="3" spans="1:3">
      <c r="A3">
        <f>ROW()-1</f>
        <v>2</v>
      </c>
      <c r="B3" s="3">
        <v>45848</v>
      </c>
      <c r="C3">
        <v>1</v>
      </c>
    </row>
    <row r="4" spans="1:3">
      <c r="A4">
        <f>ROW()-1</f>
        <v>3</v>
      </c>
      <c r="B4" s="3">
        <v>46114</v>
      </c>
      <c r="C4">
        <v>1</v>
      </c>
    </row>
    <row r="5" spans="1:3">
      <c r="A5">
        <f>ROW()-1</f>
        <v>4</v>
      </c>
      <c r="B5" s="3">
        <v>45690</v>
      </c>
      <c r="C5">
        <v>1</v>
      </c>
    </row>
    <row r="6" spans="1:3">
      <c r="A6">
        <f>ROW()-1</f>
        <v>5</v>
      </c>
      <c r="B6" s="3">
        <v>45942</v>
      </c>
      <c r="C6">
        <v>2</v>
      </c>
    </row>
    <row r="7" spans="1:3">
      <c r="A7">
        <f>ROW()-1</f>
        <v>6</v>
      </c>
      <c r="B7" s="3">
        <v>45971</v>
      </c>
      <c r="C7">
        <v>2</v>
      </c>
    </row>
    <row r="8" spans="1:3">
      <c r="A8">
        <f>ROW()-1</f>
        <v>7</v>
      </c>
      <c r="B8" s="3">
        <v>45992</v>
      </c>
      <c r="C8">
        <v>2</v>
      </c>
    </row>
    <row r="9" spans="1:3">
      <c r="A9">
        <f>ROW()-1</f>
        <v>8</v>
      </c>
      <c r="B9" s="3">
        <v>46011</v>
      </c>
      <c r="C9">
        <v>2</v>
      </c>
    </row>
    <row r="10" spans="1:3">
      <c r="A10">
        <f>ROW()-1</f>
        <v>9</v>
      </c>
      <c r="B10" s="3">
        <v>46034</v>
      </c>
      <c r="C10">
        <v>2</v>
      </c>
    </row>
    <row r="11" spans="1:3">
      <c r="A11">
        <f>ROW()-1</f>
        <v>10</v>
      </c>
      <c r="B11" s="3">
        <v>45767</v>
      </c>
      <c r="C11">
        <v>3</v>
      </c>
    </row>
    <row r="12" spans="1:3">
      <c r="A12">
        <f>ROW()-1</f>
        <v>11</v>
      </c>
      <c r="B12" s="3">
        <v>45787</v>
      </c>
      <c r="C12">
        <v>3</v>
      </c>
    </row>
    <row r="13" spans="1:3">
      <c r="A13">
        <v>12</v>
      </c>
      <c r="B13" s="3">
        <v>45818</v>
      </c>
      <c r="C13">
        <v>3</v>
      </c>
    </row>
    <row r="14" spans="1:3">
      <c r="A14">
        <f>ROW()-1</f>
        <v>13</v>
      </c>
      <c r="B14" s="3">
        <v>46152</v>
      </c>
      <c r="C14">
        <v>3</v>
      </c>
    </row>
    <row r="15" spans="1:3">
      <c r="A15">
        <f>ROW()-1</f>
        <v>14</v>
      </c>
      <c r="B15" s="3">
        <v>46113</v>
      </c>
      <c r="C15">
        <v>4</v>
      </c>
    </row>
    <row r="16" spans="1:3">
      <c r="A16">
        <f>ROW()-1</f>
        <v>15</v>
      </c>
      <c r="B16" s="3">
        <v>46174</v>
      </c>
      <c r="C16">
        <v>4</v>
      </c>
    </row>
    <row r="17" spans="1:3">
      <c r="A17">
        <f>ROW()-1</f>
        <v>16</v>
      </c>
      <c r="B17" s="3">
        <v>46139</v>
      </c>
      <c r="C17">
        <v>5</v>
      </c>
    </row>
    <row r="18" spans="1:3">
      <c r="A18">
        <f>ROW()-1</f>
        <v>17</v>
      </c>
      <c r="B18" s="3">
        <v>45945</v>
      </c>
      <c r="C18">
        <v>6</v>
      </c>
    </row>
    <row r="19" spans="1:3">
      <c r="A19">
        <f>ROW()-1</f>
        <v>18</v>
      </c>
      <c r="B19" s="3">
        <v>45940</v>
      </c>
      <c r="C19">
        <v>6</v>
      </c>
    </row>
    <row r="20" spans="1:3">
      <c r="A20">
        <f>ROW()-1</f>
        <v>19</v>
      </c>
      <c r="B20" s="3">
        <v>45874</v>
      </c>
      <c r="C20">
        <v>6</v>
      </c>
    </row>
    <row r="21" spans="1:3">
      <c r="A21">
        <f>ROW()-1</f>
        <v>20</v>
      </c>
      <c r="B21" s="3">
        <v>46063</v>
      </c>
      <c r="C21">
        <v>7</v>
      </c>
    </row>
    <row r="22" spans="1:3">
      <c r="A22">
        <f t="shared" ref="A22:A36" si="0">ROW()-1</f>
        <v>21</v>
      </c>
      <c r="B22" s="3">
        <v>46084</v>
      </c>
      <c r="C22">
        <v>7</v>
      </c>
    </row>
    <row r="23" spans="1:3">
      <c r="A23">
        <f t="shared" si="0"/>
        <v>22</v>
      </c>
      <c r="B23" s="3">
        <v>46129</v>
      </c>
      <c r="C23">
        <v>7</v>
      </c>
    </row>
    <row r="24" spans="1:3">
      <c r="A24">
        <f t="shared" si="0"/>
        <v>23</v>
      </c>
      <c r="B24" s="3">
        <v>46152</v>
      </c>
      <c r="C24">
        <v>7</v>
      </c>
    </row>
    <row r="25" spans="1:3">
      <c r="A25">
        <f t="shared" si="0"/>
        <v>24</v>
      </c>
      <c r="B25" s="3">
        <v>46077</v>
      </c>
      <c r="C25">
        <v>8</v>
      </c>
    </row>
    <row r="26" spans="1:3">
      <c r="A26">
        <f t="shared" si="0"/>
        <v>25</v>
      </c>
      <c r="B26" s="3">
        <v>46152</v>
      </c>
      <c r="C26">
        <v>9</v>
      </c>
    </row>
    <row r="27" spans="1:3">
      <c r="A27">
        <f t="shared" si="0"/>
        <v>26</v>
      </c>
      <c r="B27" s="3">
        <v>46153</v>
      </c>
      <c r="C27">
        <v>9</v>
      </c>
    </row>
    <row r="28" spans="1:3">
      <c r="A28">
        <f t="shared" si="0"/>
        <v>27</v>
      </c>
      <c r="B28" s="3">
        <v>46154</v>
      </c>
      <c r="C28">
        <v>9</v>
      </c>
    </row>
    <row r="29" spans="1:3">
      <c r="A29">
        <f t="shared" si="0"/>
        <v>28</v>
      </c>
      <c r="B29" s="3">
        <v>46155</v>
      </c>
      <c r="C29">
        <v>9</v>
      </c>
    </row>
    <row r="30" spans="1:3">
      <c r="A30">
        <f t="shared" si="0"/>
        <v>29</v>
      </c>
      <c r="B30" s="3">
        <v>46093</v>
      </c>
      <c r="C30">
        <v>10</v>
      </c>
    </row>
    <row r="31" spans="1:3">
      <c r="A31">
        <f t="shared" si="0"/>
        <v>30</v>
      </c>
      <c r="B31" s="3">
        <v>45698</v>
      </c>
      <c r="C31">
        <v>11</v>
      </c>
    </row>
    <row r="32" spans="1:3">
      <c r="A32">
        <f t="shared" si="0"/>
        <v>31</v>
      </c>
      <c r="B32" s="3">
        <v>45739</v>
      </c>
      <c r="C32">
        <v>11</v>
      </c>
    </row>
    <row r="33" spans="1:3">
      <c r="A33">
        <f t="shared" si="0"/>
        <v>32</v>
      </c>
      <c r="B33" s="3">
        <v>45749</v>
      </c>
      <c r="C33">
        <v>11</v>
      </c>
    </row>
    <row r="34" spans="1:3">
      <c r="A34">
        <f t="shared" si="0"/>
        <v>33</v>
      </c>
      <c r="B34" s="3">
        <v>45605</v>
      </c>
      <c r="C34">
        <v>11</v>
      </c>
    </row>
    <row r="35" spans="1:3">
      <c r="A35">
        <f t="shared" si="0"/>
        <v>34</v>
      </c>
      <c r="B35" s="3">
        <v>45641</v>
      </c>
      <c r="C35">
        <v>11</v>
      </c>
    </row>
    <row r="36" spans="1:3">
      <c r="A36">
        <f t="shared" si="0"/>
        <v>35</v>
      </c>
      <c r="B36" s="3">
        <v>45636</v>
      </c>
      <c r="C36">
        <v>11</v>
      </c>
    </row>
  </sheetData>
  <dataValidations count="1">
    <dataValidation allowBlank="1" showInputMessage="1" showErrorMessage="1" sqref="C1:C36" xr:uid="{297CFD7D-EE56-4598-9FAB-48C9FC8AF5E8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9568-98A7-4BD4-B7B5-3C91FF0134DF}">
  <dimension ref="A1:E37"/>
  <sheetViews>
    <sheetView tabSelected="1" workbookViewId="0">
      <selection activeCell="I21" sqref="I21"/>
    </sheetView>
  </sheetViews>
  <sheetFormatPr defaultRowHeight="15"/>
  <cols>
    <col min="1" max="1" width="10.7109375" bestFit="1" customWidth="1"/>
    <col min="2" max="2" width="12.28515625" bestFit="1" customWidth="1"/>
    <col min="3" max="3" width="13.7109375" bestFit="1" customWidth="1"/>
    <col min="4" max="4" width="12.140625" bestFit="1" customWidth="1"/>
    <col min="5" max="5" width="17.7109375" customWidth="1"/>
  </cols>
  <sheetData>
    <row r="1" spans="1:5">
      <c r="A1" t="s">
        <v>54</v>
      </c>
      <c r="B1" t="s">
        <v>0</v>
      </c>
      <c r="C1" t="s">
        <v>56</v>
      </c>
      <c r="D1" t="s">
        <v>3</v>
      </c>
      <c r="E1" t="s">
        <v>57</v>
      </c>
    </row>
    <row r="2" spans="1:5">
      <c r="A2">
        <f>ROW()-1</f>
        <v>1</v>
      </c>
      <c r="B2">
        <v>1</v>
      </c>
      <c r="C2">
        <v>4</v>
      </c>
      <c r="D2" s="1">
        <f>_xlfn.XLOOKUP(Tabela1[[#This Row],[ProdutoID]],Produtos!A:A,Produtos!E:E)</f>
        <v>3000</v>
      </c>
      <c r="E2" s="1">
        <f>Tabela1[[#This Row],[Quantidade]]*Tabela1[[#This Row],[CustoUnit]]</f>
        <v>12000</v>
      </c>
    </row>
    <row r="3" spans="1:5">
      <c r="A3">
        <f>ROW()-1</f>
        <v>2</v>
      </c>
      <c r="B3">
        <v>3</v>
      </c>
      <c r="C3">
        <v>2</v>
      </c>
      <c r="D3" s="1">
        <f>_xlfn.XLOOKUP(Tabela1[[#This Row],[ProdutoID]],Produtos!A:A,Produtos!E:E)</f>
        <v>5000</v>
      </c>
      <c r="E3" s="1">
        <f>Tabela1[[#This Row],[Quantidade]]*Tabela1[[#This Row],[CustoUnit]]</f>
        <v>10000</v>
      </c>
    </row>
    <row r="4" spans="1:5">
      <c r="A4">
        <f>ROW()-1</f>
        <v>3</v>
      </c>
      <c r="B4">
        <v>9</v>
      </c>
      <c r="C4">
        <v>2</v>
      </c>
      <c r="D4" s="1">
        <f>_xlfn.XLOOKUP(Tabela1[[#This Row],[ProdutoID]],Produtos!A:A,Produtos!E:E)</f>
        <v>1400</v>
      </c>
      <c r="E4" s="1">
        <f>Tabela1[[#This Row],[Quantidade]]*Tabela1[[#This Row],[CustoUnit]]</f>
        <v>2800</v>
      </c>
    </row>
    <row r="5" spans="1:5">
      <c r="A5">
        <f>ROW()-1</f>
        <v>4</v>
      </c>
      <c r="B5">
        <v>19</v>
      </c>
      <c r="C5">
        <v>10</v>
      </c>
      <c r="D5" s="1">
        <f>_xlfn.XLOOKUP(Tabela1[[#This Row],[ProdutoID]],Produtos!A:A,Produtos!E:E)</f>
        <v>500</v>
      </c>
      <c r="E5" s="1">
        <f>Tabela1[[#This Row],[Quantidade]]*Tabela1[[#This Row],[CustoUnit]]</f>
        <v>5000</v>
      </c>
    </row>
    <row r="6" spans="1:5">
      <c r="A6">
        <f>ROW()-1</f>
        <v>5</v>
      </c>
      <c r="B6">
        <v>1</v>
      </c>
      <c r="C6">
        <v>6</v>
      </c>
      <c r="D6" s="1">
        <f>_xlfn.XLOOKUP(Tabela1[[#This Row],[ProdutoID]],Produtos!A:A,Produtos!E:E)</f>
        <v>3000</v>
      </c>
      <c r="E6" s="1">
        <f>Tabela1[[#This Row],[Quantidade]]*Tabela1[[#This Row],[CustoUnit]]</f>
        <v>18000</v>
      </c>
    </row>
    <row r="7" spans="1:5">
      <c r="A7">
        <f>ROW()-1</f>
        <v>6</v>
      </c>
      <c r="B7">
        <v>3</v>
      </c>
      <c r="C7">
        <v>6</v>
      </c>
      <c r="D7" s="1">
        <f>_xlfn.XLOOKUP(Tabela1[[#This Row],[ProdutoID]],Produtos!A:A,Produtos!E:E)</f>
        <v>5000</v>
      </c>
      <c r="E7" s="1">
        <f>Tabela1[[#This Row],[Quantidade]]*Tabela1[[#This Row],[CustoUnit]]</f>
        <v>30000</v>
      </c>
    </row>
    <row r="8" spans="1:5">
      <c r="A8">
        <f>ROW()-1</f>
        <v>7</v>
      </c>
      <c r="B8">
        <v>10</v>
      </c>
      <c r="C8">
        <v>1</v>
      </c>
      <c r="D8" s="1">
        <f>_xlfn.XLOOKUP(Tabela1[[#This Row],[ProdutoID]],Produtos!A:A,Produtos!E:E)</f>
        <v>6000</v>
      </c>
      <c r="E8" s="1">
        <f>Tabela1[[#This Row],[Quantidade]]*Tabela1[[#This Row],[CustoUnit]]</f>
        <v>6000</v>
      </c>
    </row>
    <row r="9" spans="1:5">
      <c r="A9">
        <f>ROW()-1</f>
        <v>8</v>
      </c>
      <c r="B9">
        <v>11</v>
      </c>
      <c r="C9">
        <v>3</v>
      </c>
      <c r="D9" s="1">
        <f>_xlfn.XLOOKUP(Tabela1[[#This Row],[ProdutoID]],Produtos!A:A,Produtos!E:E)</f>
        <v>8000</v>
      </c>
      <c r="E9" s="1">
        <f>Tabela1[[#This Row],[Quantidade]]*Tabela1[[#This Row],[CustoUnit]]</f>
        <v>24000</v>
      </c>
    </row>
    <row r="10" spans="1:5">
      <c r="A10">
        <f>ROW()-1</f>
        <v>9</v>
      </c>
      <c r="B10">
        <v>19</v>
      </c>
      <c r="C10">
        <v>8</v>
      </c>
      <c r="D10" s="1">
        <f>_xlfn.XLOOKUP(Tabela1[[#This Row],[ProdutoID]],Produtos!A:A,Produtos!E:E)</f>
        <v>500</v>
      </c>
      <c r="E10" s="1">
        <f>Tabela1[[#This Row],[Quantidade]]*Tabela1[[#This Row],[CustoUnit]]</f>
        <v>4000</v>
      </c>
    </row>
    <row r="11" spans="1:5">
      <c r="A11">
        <f>ROW()-1</f>
        <v>10</v>
      </c>
      <c r="B11">
        <v>1</v>
      </c>
      <c r="C11">
        <v>6</v>
      </c>
      <c r="D11" s="1">
        <f>_xlfn.XLOOKUP(Tabela1[[#This Row],[ProdutoID]],Produtos!A:A,Produtos!E:E)</f>
        <v>3000</v>
      </c>
      <c r="E11" s="1">
        <f>Tabela1[[#This Row],[Quantidade]]*Tabela1[[#This Row],[CustoUnit]]</f>
        <v>18000</v>
      </c>
    </row>
    <row r="12" spans="1:5">
      <c r="A12">
        <f>ROW()-1</f>
        <v>11</v>
      </c>
      <c r="B12">
        <v>3</v>
      </c>
      <c r="C12">
        <v>4</v>
      </c>
      <c r="D12" s="1">
        <f>_xlfn.XLOOKUP(Tabela1[[#This Row],[ProdutoID]],Produtos!A:A,Produtos!E:E)</f>
        <v>5000</v>
      </c>
      <c r="E12" s="1">
        <f>Tabela1[[#This Row],[Quantidade]]*Tabela1[[#This Row],[CustoUnit]]</f>
        <v>20000</v>
      </c>
    </row>
    <row r="13" spans="1:5">
      <c r="A13">
        <f>ROW()-1</f>
        <v>12</v>
      </c>
      <c r="B13">
        <v>11</v>
      </c>
      <c r="C13">
        <v>2</v>
      </c>
      <c r="D13" s="1">
        <f>_xlfn.XLOOKUP(Tabela1[[#This Row],[ProdutoID]],Produtos!A:A,Produtos!E:E)</f>
        <v>8000</v>
      </c>
      <c r="E13" s="1">
        <f>Tabela1[[#This Row],[Quantidade]]*Tabela1[[#This Row],[CustoUnit]]</f>
        <v>16000</v>
      </c>
    </row>
    <row r="14" spans="1:5">
      <c r="A14">
        <f>ROW()-1</f>
        <v>13</v>
      </c>
      <c r="B14">
        <v>19</v>
      </c>
      <c r="C14">
        <v>5</v>
      </c>
      <c r="D14" s="1">
        <f>_xlfn.XLOOKUP(Tabela1[[#This Row],[ProdutoID]],Produtos!A:A,Produtos!E:E)</f>
        <v>500</v>
      </c>
      <c r="E14" s="1">
        <f>Tabela1[[#This Row],[Quantidade]]*Tabela1[[#This Row],[CustoUnit]]</f>
        <v>2500</v>
      </c>
    </row>
    <row r="15" spans="1:5">
      <c r="A15">
        <f>ROW()-1</f>
        <v>14</v>
      </c>
      <c r="B15">
        <v>10</v>
      </c>
      <c r="C15">
        <v>6</v>
      </c>
      <c r="D15" s="1">
        <f>_xlfn.XLOOKUP(Tabela1[[#This Row],[ProdutoID]],Produtos!A:A,Produtos!E:E)</f>
        <v>6000</v>
      </c>
      <c r="E15" s="1">
        <f>Tabela1[[#This Row],[Quantidade]]*Tabela1[[#This Row],[CustoUnit]]</f>
        <v>36000</v>
      </c>
    </row>
    <row r="16" spans="1:5">
      <c r="A16">
        <f>ROW()-1</f>
        <v>15</v>
      </c>
      <c r="B16">
        <v>11</v>
      </c>
      <c r="C16">
        <v>2</v>
      </c>
      <c r="D16" s="1">
        <f>_xlfn.XLOOKUP(Tabela1[[#This Row],[ProdutoID]],Produtos!A:A,Produtos!E:E)</f>
        <v>8000</v>
      </c>
      <c r="E16" s="1">
        <f>Tabela1[[#This Row],[Quantidade]]*Tabela1[[#This Row],[CustoUnit]]</f>
        <v>16000</v>
      </c>
    </row>
    <row r="17" spans="1:5">
      <c r="A17">
        <f>ROW()-1</f>
        <v>16</v>
      </c>
      <c r="B17">
        <v>5</v>
      </c>
      <c r="C17">
        <v>2</v>
      </c>
      <c r="D17" s="1">
        <f>_xlfn.XLOOKUP(Tabela1[[#This Row],[ProdutoID]],Produtos!A:A,Produtos!E:E)</f>
        <v>1300</v>
      </c>
      <c r="E17" s="1">
        <f>Tabela1[[#This Row],[Quantidade]]*Tabela1[[#This Row],[CustoUnit]]</f>
        <v>2600</v>
      </c>
    </row>
    <row r="18" spans="1:5">
      <c r="A18">
        <f>ROW()-1</f>
        <v>17</v>
      </c>
      <c r="B18">
        <v>1</v>
      </c>
      <c r="C18">
        <v>4</v>
      </c>
      <c r="D18" s="1">
        <f>_xlfn.XLOOKUP(Tabela1[[#This Row],[ProdutoID]],Produtos!A:A,Produtos!E:E)</f>
        <v>3000</v>
      </c>
      <c r="E18" s="1">
        <f>Tabela1[[#This Row],[Quantidade]]*Tabela1[[#This Row],[CustoUnit]]</f>
        <v>12000</v>
      </c>
    </row>
    <row r="19" spans="1:5">
      <c r="A19">
        <f>ROW()-1</f>
        <v>18</v>
      </c>
      <c r="B19">
        <v>3</v>
      </c>
      <c r="C19">
        <v>3</v>
      </c>
      <c r="D19" s="1">
        <f>_xlfn.XLOOKUP(Tabela1[[#This Row],[ProdutoID]],Produtos!A:A,Produtos!E:E)</f>
        <v>5000</v>
      </c>
      <c r="E19" s="1">
        <f>Tabela1[[#This Row],[Quantidade]]*Tabela1[[#This Row],[CustoUnit]]</f>
        <v>15000</v>
      </c>
    </row>
    <row r="20" spans="1:5">
      <c r="A20">
        <f>ROW()-1</f>
        <v>19</v>
      </c>
      <c r="B20">
        <v>11</v>
      </c>
      <c r="C20">
        <v>1</v>
      </c>
      <c r="D20" s="1">
        <f>_xlfn.XLOOKUP(Tabela1[[#This Row],[ProdutoID]],Produtos!A:A,Produtos!E:E)</f>
        <v>8000</v>
      </c>
      <c r="E20" s="1">
        <f>Tabela1[[#This Row],[Quantidade]]*Tabela1[[#This Row],[CustoUnit]]</f>
        <v>8000</v>
      </c>
    </row>
    <row r="21" spans="1:5">
      <c r="A21">
        <f>ROW()-1</f>
        <v>20</v>
      </c>
      <c r="B21">
        <v>2</v>
      </c>
      <c r="C21">
        <v>4</v>
      </c>
      <c r="D21" s="1">
        <f>_xlfn.XLOOKUP(Tabela1[[#This Row],[ProdutoID]],Produtos!A:A,Produtos!E:E)</f>
        <v>800</v>
      </c>
      <c r="E21" s="1">
        <f>Tabela1[[#This Row],[Quantidade]]*Tabela1[[#This Row],[CustoUnit]]</f>
        <v>3200</v>
      </c>
    </row>
    <row r="22" spans="1:5">
      <c r="A22">
        <f>ROW()-1</f>
        <v>21</v>
      </c>
      <c r="B22">
        <v>13</v>
      </c>
      <c r="C22">
        <v>1</v>
      </c>
      <c r="D22" s="1">
        <f>_xlfn.XLOOKUP(Tabela1[[#This Row],[ProdutoID]],Produtos!A:A,Produtos!E:E)</f>
        <v>300</v>
      </c>
      <c r="E22" s="1">
        <f>Tabela1[[#This Row],[Quantidade]]*Tabela1[[#This Row],[CustoUnit]]</f>
        <v>300</v>
      </c>
    </row>
    <row r="23" spans="1:5">
      <c r="A23">
        <f t="shared" ref="A23:A25" si="0">ROW()-1</f>
        <v>22</v>
      </c>
      <c r="B23">
        <v>5</v>
      </c>
      <c r="C23">
        <v>1</v>
      </c>
      <c r="D23" s="1">
        <f>_xlfn.XLOOKUP(Tabela1[[#This Row],[ProdutoID]],Produtos!A:A,Produtos!E:E)</f>
        <v>1300</v>
      </c>
      <c r="E23" s="1">
        <f>Tabela1[[#This Row],[Quantidade]]*Tabela1[[#This Row],[CustoUnit]]</f>
        <v>1300</v>
      </c>
    </row>
    <row r="24" spans="1:5">
      <c r="A24">
        <f t="shared" si="0"/>
        <v>23</v>
      </c>
      <c r="B24">
        <v>19</v>
      </c>
      <c r="C24">
        <v>5</v>
      </c>
      <c r="D24" s="1">
        <f>_xlfn.XLOOKUP(Tabela1[[#This Row],[ProdutoID]],Produtos!A:A,Produtos!E:E)</f>
        <v>500</v>
      </c>
      <c r="E24" s="1">
        <f>Tabela1[[#This Row],[Quantidade]]*Tabela1[[#This Row],[CustoUnit]]</f>
        <v>2500</v>
      </c>
    </row>
    <row r="25" spans="1:5">
      <c r="A25">
        <f t="shared" si="0"/>
        <v>24</v>
      </c>
      <c r="B25">
        <v>12</v>
      </c>
      <c r="C25">
        <v>10</v>
      </c>
      <c r="D25" s="1">
        <f>_xlfn.XLOOKUP(Tabela1[[#This Row],[ProdutoID]],Produtos!A:A,Produtos!E:E)</f>
        <v>200</v>
      </c>
      <c r="E25" s="1">
        <f>Tabela1[[#This Row],[Quantidade]]*Tabela1[[#This Row],[CustoUnit]]</f>
        <v>2000</v>
      </c>
    </row>
    <row r="26" spans="1:5">
      <c r="A26">
        <f t="shared" ref="A26:A29" si="1">ROW()-1</f>
        <v>25</v>
      </c>
      <c r="B26">
        <v>5</v>
      </c>
      <c r="C26">
        <v>8</v>
      </c>
      <c r="D26" s="1">
        <f>_xlfn.XLOOKUP(Tabela1[[#This Row],[ProdutoID]],Produtos!A:A,Produtos!E:E)</f>
        <v>1300</v>
      </c>
      <c r="E26" s="1">
        <f>Tabela1[[#This Row],[Quantidade]]*Tabela1[[#This Row],[CustoUnit]]</f>
        <v>10400</v>
      </c>
    </row>
    <row r="27" spans="1:5">
      <c r="A27">
        <f t="shared" si="1"/>
        <v>26</v>
      </c>
      <c r="B27">
        <v>19</v>
      </c>
      <c r="C27">
        <v>4</v>
      </c>
      <c r="D27" s="1">
        <f>_xlfn.XLOOKUP(Tabela1[[#This Row],[ProdutoID]],Produtos!A:A,Produtos!E:E)</f>
        <v>500</v>
      </c>
      <c r="E27" s="1">
        <f>Tabela1[[#This Row],[Quantidade]]*Tabela1[[#This Row],[CustoUnit]]</f>
        <v>2000</v>
      </c>
    </row>
    <row r="28" spans="1:5">
      <c r="A28">
        <f t="shared" si="1"/>
        <v>27</v>
      </c>
      <c r="B28">
        <v>21</v>
      </c>
      <c r="C28">
        <v>6</v>
      </c>
      <c r="D28" s="1">
        <f>_xlfn.XLOOKUP(Tabela1[[#This Row],[ProdutoID]],Produtos!A:A,Produtos!E:E)</f>
        <v>1500</v>
      </c>
      <c r="E28" s="1">
        <f>Tabela1[[#This Row],[Quantidade]]*Tabela1[[#This Row],[CustoUnit]]</f>
        <v>9000</v>
      </c>
    </row>
    <row r="29" spans="1:5">
      <c r="A29">
        <f t="shared" si="1"/>
        <v>28</v>
      </c>
      <c r="B29">
        <v>22</v>
      </c>
      <c r="C29">
        <v>1</v>
      </c>
      <c r="D29" s="1">
        <f>_xlfn.XLOOKUP(Tabela1[[#This Row],[ProdutoID]],Produtos!A:A,Produtos!E:E)</f>
        <v>8000</v>
      </c>
      <c r="E29" s="1">
        <f>Tabela1[[#This Row],[Quantidade]]*Tabela1[[#This Row],[CustoUnit]]</f>
        <v>8000</v>
      </c>
    </row>
    <row r="30" spans="1:5">
      <c r="A30">
        <f>ROW()-1</f>
        <v>29</v>
      </c>
      <c r="B30">
        <v>19</v>
      </c>
      <c r="C30">
        <v>1</v>
      </c>
      <c r="D30" s="1">
        <f>_xlfn.XLOOKUP(Tabela1[[#This Row],[ProdutoID]],Produtos!A:A,Produtos!E:E)</f>
        <v>500</v>
      </c>
      <c r="E30" s="1">
        <f>Tabela1[[#This Row],[Quantidade]]*Tabela1[[#This Row],[CustoUnit]]</f>
        <v>500</v>
      </c>
    </row>
    <row r="31" spans="1:5">
      <c r="A31">
        <f t="shared" ref="A31:A36" si="2">ROW()-1</f>
        <v>30</v>
      </c>
      <c r="B31">
        <v>1</v>
      </c>
      <c r="C31">
        <v>7</v>
      </c>
      <c r="D31" s="1">
        <f>_xlfn.XLOOKUP(Tabela1[[#This Row],[ProdutoID]],Produtos!A:A,Produtos!E:E)</f>
        <v>3000</v>
      </c>
      <c r="E31" s="1">
        <f>Tabela1[[#This Row],[Quantidade]]*Tabela1[[#This Row],[CustoUnit]]</f>
        <v>21000</v>
      </c>
    </row>
    <row r="32" spans="1:5">
      <c r="A32">
        <f t="shared" si="2"/>
        <v>31</v>
      </c>
      <c r="B32">
        <v>3</v>
      </c>
      <c r="C32">
        <v>3</v>
      </c>
      <c r="D32" s="1">
        <f>_xlfn.XLOOKUP(Tabela1[[#This Row],[ProdutoID]],Produtos!A:A,Produtos!E:E)</f>
        <v>5000</v>
      </c>
      <c r="E32" s="1">
        <f>Tabela1[[#This Row],[Quantidade]]*Tabela1[[#This Row],[CustoUnit]]</f>
        <v>15000</v>
      </c>
    </row>
    <row r="33" spans="1:5">
      <c r="A33">
        <f t="shared" si="2"/>
        <v>32</v>
      </c>
      <c r="B33">
        <v>11</v>
      </c>
      <c r="C33">
        <v>1</v>
      </c>
      <c r="D33" s="1">
        <f>_xlfn.XLOOKUP(Tabela1[[#This Row],[ProdutoID]],Produtos!A:A,Produtos!E:E)</f>
        <v>8000</v>
      </c>
      <c r="E33" s="1">
        <f>Tabela1[[#This Row],[Quantidade]]*Tabela1[[#This Row],[CustoUnit]]</f>
        <v>8000</v>
      </c>
    </row>
    <row r="34" spans="1:5">
      <c r="A34">
        <f t="shared" si="2"/>
        <v>33</v>
      </c>
      <c r="B34">
        <v>1</v>
      </c>
      <c r="C34">
        <v>6</v>
      </c>
      <c r="D34" s="1">
        <f>_xlfn.XLOOKUP(Tabela1[[#This Row],[ProdutoID]],Produtos!A:A,Produtos!E:E)</f>
        <v>3000</v>
      </c>
      <c r="E34" s="1">
        <f>Tabela1[[#This Row],[Quantidade]]*Tabela1[[#This Row],[CustoUnit]]</f>
        <v>18000</v>
      </c>
    </row>
    <row r="35" spans="1:5">
      <c r="A35">
        <f t="shared" si="2"/>
        <v>34</v>
      </c>
      <c r="B35">
        <v>3</v>
      </c>
      <c r="C35">
        <v>3</v>
      </c>
      <c r="D35" s="1">
        <f>_xlfn.XLOOKUP(Tabela1[[#This Row],[ProdutoID]],Produtos!A:A,Produtos!E:E)</f>
        <v>5000</v>
      </c>
      <c r="E35" s="1">
        <f>Tabela1[[#This Row],[Quantidade]]*Tabela1[[#This Row],[CustoUnit]]</f>
        <v>15000</v>
      </c>
    </row>
    <row r="36" spans="1:5">
      <c r="A36">
        <f t="shared" si="2"/>
        <v>35</v>
      </c>
      <c r="B36">
        <v>19</v>
      </c>
      <c r="C36">
        <v>3</v>
      </c>
      <c r="D36" s="1">
        <f>_xlfn.XLOOKUP(Tabela1[[#This Row],[ProdutoID]],Produtos!A:A,Produtos!E:E)</f>
        <v>500</v>
      </c>
      <c r="E36" s="1">
        <f>Tabela1[[#This Row],[Quantidade]]*Tabela1[[#This Row],[CustoUnit]]</f>
        <v>1500</v>
      </c>
    </row>
    <row r="37" spans="1:5">
      <c r="A37" t="s">
        <v>58</v>
      </c>
      <c r="E37" s="1">
        <f>SUBTOTAL(109,E2:E36)</f>
        <v>375600</v>
      </c>
    </row>
  </sheetData>
  <dataValidations count="1">
    <dataValidation allowBlank="1" showInputMessage="1" showErrorMessage="1" sqref="B1:B37" xr:uid="{624786E3-1B75-4118-81E7-C858F7DDB2E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2026-05-15T22:22:55Z</dcterms:created>
  <dcterms:modified xsi:type="dcterms:W3CDTF">2026-05-21T02:01:41Z</dcterms:modified>
  <cp:category/>
  <cp:contentStatus/>
</cp:coreProperties>
</file>